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Documents\"/>
    </mc:Choice>
  </mc:AlternateContent>
  <bookViews>
    <workbookView xWindow="0" yWindow="0" windowWidth="16815" windowHeight="7755"/>
  </bookViews>
  <sheets>
    <sheet name="Sheet2" sheetId="2" r:id="rId1"/>
    <sheet name="Sheet4" sheetId="4" r:id="rId2"/>
    <sheet name="Sheet1" sheetId="1" r:id="rId3"/>
  </sheets>
  <definedNames>
    <definedName name="Slicer_STATUS">#N/A</definedName>
  </definedNames>
  <calcPr calcId="152511"/>
  <pivotCaches>
    <pivotCache cacheId="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1" l="1"/>
  <c r="G3" i="1"/>
  <c r="G4" i="1"/>
  <c r="G5" i="1"/>
  <c r="G6" i="1"/>
  <c r="G7" i="1"/>
  <c r="G8" i="1"/>
  <c r="G9" i="1"/>
  <c r="G10" i="1"/>
  <c r="G11" i="1"/>
  <c r="G2" i="1"/>
</calcChain>
</file>

<file path=xl/sharedStrings.xml><?xml version="1.0" encoding="utf-8"?>
<sst xmlns="http://schemas.openxmlformats.org/spreadsheetml/2006/main" count="49" uniqueCount="28">
  <si>
    <t>ORD_ID</t>
  </si>
  <si>
    <t>REGION</t>
  </si>
  <si>
    <t>SALES</t>
  </si>
  <si>
    <t>PROFIT</t>
  </si>
  <si>
    <t xml:space="preserve">A2      </t>
  </si>
  <si>
    <t xml:space="preserve">A4      </t>
  </si>
  <si>
    <t xml:space="preserve">A6      </t>
  </si>
  <si>
    <t xml:space="preserve">A9      </t>
  </si>
  <si>
    <t>A10</t>
  </si>
  <si>
    <t xml:space="preserve">A1      </t>
  </si>
  <si>
    <t xml:space="preserve">A8      </t>
  </si>
  <si>
    <t xml:space="preserve">A5      </t>
  </si>
  <si>
    <t xml:space="preserve">A3      </t>
  </si>
  <si>
    <t xml:space="preserve">A7      </t>
  </si>
  <si>
    <t xml:space="preserve"> West         </t>
  </si>
  <si>
    <t xml:space="preserve"> East         </t>
  </si>
  <si>
    <t xml:space="preserve"> South        </t>
  </si>
  <si>
    <t xml:space="preserve"> Central</t>
  </si>
  <si>
    <t xml:space="preserve"> ORD_DATE</t>
  </si>
  <si>
    <t>STATUS</t>
  </si>
  <si>
    <t>RETURNED</t>
  </si>
  <si>
    <t>NOT RETURNED</t>
  </si>
  <si>
    <t>NET PROFIT</t>
  </si>
  <si>
    <t>Row Labels</t>
  </si>
  <si>
    <t>Grand Total</t>
  </si>
  <si>
    <t>Column Labels</t>
  </si>
  <si>
    <t>Count of NET PROFIT</t>
  </si>
  <si>
    <t>e-commerce sales &amp;returns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</si>
</sst>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8"/>
      <color theme="0"/>
      <name val="Algerian"/>
      <family val="5"/>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6">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[E-Commerce_Sales_&amp;_Returns_Analysis_SQL_Excel.xlsx]Sheet4!PivotTable3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&amp; Returns Analysis</a:t>
            </a:r>
            <a:endParaRPr lang="en-IN"/>
          </a:p>
        </c:rich>
      </c:tx>
      <c:layout>
        <c:manualLayout>
          <c:xMode val="edge"/>
          <c:yMode val="edge"/>
          <c:x val="0.3046462049386684"/>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pivotFmt>
      <c:pivotFmt>
        <c:idx val="3"/>
        <c:spPr>
          <a:solidFill>
            <a:schemeClr val="accent2">
              <a:lumMod val="75000"/>
            </a:schemeClr>
          </a:solidFill>
          <a:ln>
            <a:noFill/>
          </a:ln>
          <a:effectLst/>
        </c:spPr>
        <c:marker>
          <c:symbol val="none"/>
        </c:marker>
      </c:pivotFmt>
      <c:pivotFmt>
        <c:idx val="4"/>
        <c:spPr>
          <a:solidFill>
            <a:schemeClr val="accent1">
              <a:lumMod val="75000"/>
            </a:schemeClr>
          </a:solidFill>
          <a:ln>
            <a:noFill/>
          </a:ln>
          <a:effectLst/>
        </c:spPr>
        <c:marker>
          <c:symbol val="none"/>
        </c:marker>
      </c:pivotFmt>
      <c:pivotFmt>
        <c:idx val="5"/>
        <c:spPr>
          <a:solidFill>
            <a:schemeClr val="accent2">
              <a:lumMod val="75000"/>
            </a:schemeClr>
          </a:solidFill>
          <a:ln>
            <a:noFill/>
          </a:ln>
          <a:effectLst/>
        </c:spPr>
        <c:marker>
          <c:symbol val="none"/>
        </c:marker>
      </c:pivotFmt>
    </c:pivotFmts>
    <c:plotArea>
      <c:layout>
        <c:manualLayout>
          <c:layoutTarget val="inner"/>
          <c:xMode val="edge"/>
          <c:yMode val="edge"/>
          <c:x val="7.4120092131340728E-2"/>
          <c:y val="0.17171296296296298"/>
          <c:w val="0.68059585408966738"/>
          <c:h val="0.72088764946048411"/>
        </c:manualLayout>
      </c:layout>
      <c:barChart>
        <c:barDir val="col"/>
        <c:grouping val="clustered"/>
        <c:varyColors val="0"/>
        <c:ser>
          <c:idx val="0"/>
          <c:order val="0"/>
          <c:tx>
            <c:strRef>
              <c:f>Sheet4!$B$3:$B$4</c:f>
              <c:strCache>
                <c:ptCount val="1"/>
                <c:pt idx="0">
                  <c:v>NOT RETURNED</c:v>
                </c:pt>
              </c:strCache>
            </c:strRef>
          </c:tx>
          <c:spPr>
            <a:solidFill>
              <a:schemeClr val="accent1">
                <a:lumMod val="75000"/>
              </a:schemeClr>
            </a:solidFill>
            <a:ln>
              <a:noFill/>
            </a:ln>
            <a:effectLst/>
          </c:spPr>
          <c:invertIfNegative val="0"/>
          <c:cat>
            <c:strRef>
              <c:f>Sheet4!$A$5:$A$9</c:f>
              <c:strCache>
                <c:ptCount val="4"/>
                <c:pt idx="0">
                  <c:v> Central</c:v>
                </c:pt>
                <c:pt idx="1">
                  <c:v> East         </c:v>
                </c:pt>
                <c:pt idx="2">
                  <c:v> South        </c:v>
                </c:pt>
                <c:pt idx="3">
                  <c:v> West         </c:v>
                </c:pt>
              </c:strCache>
            </c:strRef>
          </c:cat>
          <c:val>
            <c:numRef>
              <c:f>Sheet4!$B$5:$B$9</c:f>
              <c:numCache>
                <c:formatCode>General</c:formatCode>
                <c:ptCount val="4"/>
                <c:pt idx="0">
                  <c:v>3</c:v>
                </c:pt>
                <c:pt idx="1">
                  <c:v>1</c:v>
                </c:pt>
                <c:pt idx="2">
                  <c:v>1</c:v>
                </c:pt>
                <c:pt idx="3">
                  <c:v>1</c:v>
                </c:pt>
              </c:numCache>
            </c:numRef>
          </c:val>
        </c:ser>
        <c:ser>
          <c:idx val="1"/>
          <c:order val="1"/>
          <c:tx>
            <c:strRef>
              <c:f>Sheet4!$C$3:$C$4</c:f>
              <c:strCache>
                <c:ptCount val="1"/>
                <c:pt idx="0">
                  <c:v>RETURNED</c:v>
                </c:pt>
              </c:strCache>
            </c:strRef>
          </c:tx>
          <c:spPr>
            <a:solidFill>
              <a:schemeClr val="accent2">
                <a:lumMod val="75000"/>
              </a:schemeClr>
            </a:solidFill>
            <a:ln>
              <a:noFill/>
            </a:ln>
            <a:effectLst/>
          </c:spPr>
          <c:invertIfNegative val="0"/>
          <c:cat>
            <c:strRef>
              <c:f>Sheet4!$A$5:$A$9</c:f>
              <c:strCache>
                <c:ptCount val="4"/>
                <c:pt idx="0">
                  <c:v> Central</c:v>
                </c:pt>
                <c:pt idx="1">
                  <c:v> East         </c:v>
                </c:pt>
                <c:pt idx="2">
                  <c:v> South        </c:v>
                </c:pt>
                <c:pt idx="3">
                  <c:v> West         </c:v>
                </c:pt>
              </c:strCache>
            </c:strRef>
          </c:cat>
          <c:val>
            <c:numRef>
              <c:f>Sheet4!$C$5:$C$9</c:f>
              <c:numCache>
                <c:formatCode>General</c:formatCode>
                <c:ptCount val="4"/>
                <c:pt idx="1">
                  <c:v>1</c:v>
                </c:pt>
                <c:pt idx="2">
                  <c:v>1</c:v>
                </c:pt>
                <c:pt idx="3">
                  <c:v>2</c:v>
                </c:pt>
              </c:numCache>
            </c:numRef>
          </c:val>
        </c:ser>
        <c:dLbls>
          <c:showLegendKey val="0"/>
          <c:showVal val="0"/>
          <c:showCatName val="0"/>
          <c:showSerName val="0"/>
          <c:showPercent val="0"/>
          <c:showBubbleSize val="0"/>
        </c:dLbls>
        <c:gapWidth val="150"/>
        <c:axId val="339243048"/>
        <c:axId val="339241872"/>
      </c:barChart>
      <c:catAx>
        <c:axId val="339243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41872"/>
        <c:crosses val="autoZero"/>
        <c:auto val="1"/>
        <c:lblAlgn val="ctr"/>
        <c:lblOffset val="100"/>
        <c:noMultiLvlLbl val="0"/>
      </c:catAx>
      <c:valAx>
        <c:axId val="339241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43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222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[E-Commerce_Sales_&amp;_Returns_Analysis_SQL_Excel.xlsx]Sheet4!PivotTable3</c:name>
    <c:fmtId val="10"/>
  </c:pivotSource>
  <c:chart>
    <c:autoTitleDeleted val="0"/>
    <c:pivotFmts>
      <c:pivotFmt>
        <c:idx val="0"/>
        <c:spPr>
          <a:solidFill>
            <a:schemeClr val="accent1">
              <a:lumMod val="75000"/>
            </a:schemeClr>
          </a:solidFill>
          <a:ln>
            <a:noFill/>
          </a:ln>
          <a:effectLst/>
        </c:spPr>
        <c:marker>
          <c:symbol val="none"/>
        </c:marker>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NOT RETURNED</c:v>
                </c:pt>
              </c:strCache>
            </c:strRef>
          </c:tx>
          <c:spPr>
            <a:solidFill>
              <a:schemeClr val="accent1">
                <a:lumMod val="75000"/>
              </a:schemeClr>
            </a:solidFill>
            <a:ln>
              <a:noFill/>
            </a:ln>
            <a:effectLst/>
          </c:spPr>
          <c:invertIfNegative val="0"/>
          <c:cat>
            <c:strRef>
              <c:f>Sheet4!$A$5:$A$9</c:f>
              <c:strCache>
                <c:ptCount val="4"/>
                <c:pt idx="0">
                  <c:v> Central</c:v>
                </c:pt>
                <c:pt idx="1">
                  <c:v> East         </c:v>
                </c:pt>
                <c:pt idx="2">
                  <c:v> South        </c:v>
                </c:pt>
                <c:pt idx="3">
                  <c:v> West         </c:v>
                </c:pt>
              </c:strCache>
            </c:strRef>
          </c:cat>
          <c:val>
            <c:numRef>
              <c:f>Sheet4!$B$5:$B$9</c:f>
              <c:numCache>
                <c:formatCode>General</c:formatCode>
                <c:ptCount val="4"/>
                <c:pt idx="0">
                  <c:v>3</c:v>
                </c:pt>
                <c:pt idx="1">
                  <c:v>1</c:v>
                </c:pt>
                <c:pt idx="2">
                  <c:v>1</c:v>
                </c:pt>
                <c:pt idx="3">
                  <c:v>1</c:v>
                </c:pt>
              </c:numCache>
            </c:numRef>
          </c:val>
        </c:ser>
        <c:ser>
          <c:idx val="1"/>
          <c:order val="1"/>
          <c:tx>
            <c:strRef>
              <c:f>Sheet4!$C$3:$C$4</c:f>
              <c:strCache>
                <c:ptCount val="1"/>
                <c:pt idx="0">
                  <c:v>RETURNED</c:v>
                </c:pt>
              </c:strCache>
            </c:strRef>
          </c:tx>
          <c:spPr>
            <a:solidFill>
              <a:schemeClr val="accent2">
                <a:lumMod val="75000"/>
              </a:schemeClr>
            </a:solidFill>
            <a:ln>
              <a:noFill/>
            </a:ln>
            <a:effectLst/>
          </c:spPr>
          <c:invertIfNegative val="0"/>
          <c:cat>
            <c:strRef>
              <c:f>Sheet4!$A$5:$A$9</c:f>
              <c:strCache>
                <c:ptCount val="4"/>
                <c:pt idx="0">
                  <c:v> Central</c:v>
                </c:pt>
                <c:pt idx="1">
                  <c:v> East         </c:v>
                </c:pt>
                <c:pt idx="2">
                  <c:v> South        </c:v>
                </c:pt>
                <c:pt idx="3">
                  <c:v> West         </c:v>
                </c:pt>
              </c:strCache>
            </c:strRef>
          </c:cat>
          <c:val>
            <c:numRef>
              <c:f>Sheet4!$C$5:$C$9</c:f>
              <c:numCache>
                <c:formatCode>General</c:formatCode>
                <c:ptCount val="4"/>
                <c:pt idx="1">
                  <c:v>1</c:v>
                </c:pt>
                <c:pt idx="2">
                  <c:v>1</c:v>
                </c:pt>
                <c:pt idx="3">
                  <c:v>2</c:v>
                </c:pt>
              </c:numCache>
            </c:numRef>
          </c:val>
        </c:ser>
        <c:dLbls>
          <c:showLegendKey val="0"/>
          <c:showVal val="0"/>
          <c:showCatName val="0"/>
          <c:showSerName val="0"/>
          <c:showPercent val="0"/>
          <c:showBubbleSize val="0"/>
        </c:dLbls>
        <c:gapWidth val="150"/>
        <c:axId val="339238344"/>
        <c:axId val="339239520"/>
      </c:barChart>
      <c:catAx>
        <c:axId val="339238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39520"/>
        <c:crosses val="autoZero"/>
        <c:auto val="1"/>
        <c:lblAlgn val="ctr"/>
        <c:lblOffset val="100"/>
        <c:noMultiLvlLbl val="0"/>
      </c:catAx>
      <c:valAx>
        <c:axId val="33923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38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333375</xdr:colOff>
      <xdr:row>4</xdr:row>
      <xdr:rowOff>180975</xdr:rowOff>
    </xdr:from>
    <xdr:to>
      <xdr:col>8</xdr:col>
      <xdr:colOff>123825</xdr:colOff>
      <xdr:row>19</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285750</xdr:colOff>
      <xdr:row>7</xdr:row>
      <xdr:rowOff>133351</xdr:rowOff>
    </xdr:from>
    <xdr:to>
      <xdr:col>11</xdr:col>
      <xdr:colOff>285750</xdr:colOff>
      <xdr:row>13</xdr:row>
      <xdr:rowOff>57151</xdr:rowOff>
    </xdr:to>
    <mc:AlternateContent xmlns:mc="http://schemas.openxmlformats.org/markup-compatibility/2006" xmlns:a14="http://schemas.microsoft.com/office/drawing/2010/main">
      <mc:Choice Requires="a14">
        <xdr:graphicFrame macro="">
          <xdr:nvGraphicFramePr>
            <xdr:cNvPr id="6"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162550" y="1447801"/>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9</xdr:row>
      <xdr:rowOff>52387</xdr:rowOff>
    </xdr:from>
    <xdr:to>
      <xdr:col>5</xdr:col>
      <xdr:colOff>228600</xdr:colOff>
      <xdr:row>23</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45.923082986112" createdVersion="5" refreshedVersion="5" minRefreshableVersion="3" recordCount="10">
  <cacheSource type="worksheet">
    <worksheetSource ref="A1:G11" sheet="Sheet1"/>
  </cacheSource>
  <cacheFields count="7">
    <cacheField name="ORD_ID" numFmtId="0">
      <sharedItems/>
    </cacheField>
    <cacheField name="REGION" numFmtId="0">
      <sharedItems count="4">
        <s v=" West         "/>
        <s v=" East         "/>
        <s v=" South        "/>
        <s v=" Central"/>
      </sharedItems>
    </cacheField>
    <cacheField name="SALES" numFmtId="0">
      <sharedItems containsSemiMixedTypes="0" containsString="0" containsNumber="1" containsInteger="1" minValue="150" maxValue="3000"/>
    </cacheField>
    <cacheField name="PROFIT" numFmtId="0">
      <sharedItems containsSemiMixedTypes="0" containsString="0" containsNumber="1" containsInteger="1" minValue="-50" maxValue="800"/>
    </cacheField>
    <cacheField name=" ORD_DATE" numFmtId="15">
      <sharedItems containsSemiMixedTypes="0" containsNonDate="0" containsDate="1" containsString="0" minDate="2023-01-01T00:00:00" maxDate="2023-01-29T00:00:00"/>
    </cacheField>
    <cacheField name="STATUS" numFmtId="0">
      <sharedItems count="2">
        <s v="RETURNED"/>
        <s v="NOT RETURNED"/>
      </sharedItems>
    </cacheField>
    <cacheField name="NET PROFIT" numFmtId="0">
      <sharedItems containsSemiMixedTypes="0" containsString="0" containsNumber="1" containsInteger="1" minValue="0" maxValue="8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s v="A2      "/>
    <x v="0"/>
    <n v="1200"/>
    <n v="-50"/>
    <d v="2023-01-05T00:00:00"/>
    <x v="0"/>
    <n v="0"/>
  </r>
  <r>
    <s v="A4      "/>
    <x v="1"/>
    <n v="150"/>
    <n v="-20"/>
    <d v="2023-01-12T00:00:00"/>
    <x v="0"/>
    <n v="0"/>
  </r>
  <r>
    <s v="A6      "/>
    <x v="2"/>
    <n v="450"/>
    <n v="50"/>
    <d v="2023-01-18T00:00:00"/>
    <x v="0"/>
    <n v="0"/>
  </r>
  <r>
    <s v="A9      "/>
    <x v="0"/>
    <n v="900"/>
    <n v="100"/>
    <d v="2023-01-25T00:00:00"/>
    <x v="0"/>
    <n v="0"/>
  </r>
  <r>
    <s v="A10"/>
    <x v="3"/>
    <n v="1100"/>
    <n v="300"/>
    <d v="2023-01-28T00:00:00"/>
    <x v="1"/>
    <n v="300"/>
  </r>
  <r>
    <s v="A1      "/>
    <x v="3"/>
    <n v="500"/>
    <n v="100"/>
    <d v="2023-01-01T00:00:00"/>
    <x v="1"/>
    <n v="100"/>
  </r>
  <r>
    <s v="A8      "/>
    <x v="1"/>
    <n v="2500"/>
    <n v="600"/>
    <d v="2023-01-22T00:00:00"/>
    <x v="1"/>
    <n v="600"/>
  </r>
  <r>
    <s v="A5      "/>
    <x v="0"/>
    <n v="3000"/>
    <n v="800"/>
    <d v="2023-01-15T00:00:00"/>
    <x v="1"/>
    <n v="800"/>
  </r>
  <r>
    <s v="A3      "/>
    <x v="2"/>
    <n v="2000"/>
    <n v="500"/>
    <d v="2023-01-10T00:00:00"/>
    <x v="1"/>
    <n v="500"/>
  </r>
  <r>
    <s v="A7      "/>
    <x v="3"/>
    <n v="800"/>
    <n v="200"/>
    <d v="2023-01-20T00:00:00"/>
    <x v="1"/>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D9" firstHeaderRow="1" firstDataRow="2" firstDataCol="1"/>
  <pivotFields count="7">
    <pivotField showAll="0"/>
    <pivotField axis="axisRow" showAll="0">
      <items count="5">
        <item x="3"/>
        <item x="1"/>
        <item x="2"/>
        <item x="0"/>
        <item t="default"/>
      </items>
    </pivotField>
    <pivotField showAll="0"/>
    <pivotField showAll="0"/>
    <pivotField numFmtId="15" showAll="0"/>
    <pivotField axis="axisCol" showAll="0">
      <items count="3">
        <item x="1"/>
        <item x="0"/>
        <item t="default"/>
      </items>
    </pivotField>
    <pivotField dataField="1" showAll="0"/>
  </pivotFields>
  <rowFields count="1">
    <field x="1"/>
  </rowFields>
  <rowItems count="5">
    <i>
      <x/>
    </i>
    <i>
      <x v="1"/>
    </i>
    <i>
      <x v="2"/>
    </i>
    <i>
      <x v="3"/>
    </i>
    <i t="grand">
      <x/>
    </i>
  </rowItems>
  <colFields count="1">
    <field x="5"/>
  </colFields>
  <colItems count="3">
    <i>
      <x/>
    </i>
    <i>
      <x v="1"/>
    </i>
    <i t="grand">
      <x/>
    </i>
  </colItems>
  <dataFields count="1">
    <dataField name="Count of NET PROFIT" fld="6" subtotal="count" baseField="1" baseItem="0"/>
  </dataFields>
  <chartFormats count="4">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20" format="4" series="1">
      <pivotArea type="data" outline="0" fieldPosition="0">
        <references count="2">
          <reference field="4294967294" count="1" selected="0">
            <x v="0"/>
          </reference>
          <reference field="5" count="1" selected="0">
            <x v="0"/>
          </reference>
        </references>
      </pivotArea>
    </chartFormat>
    <chartFormat chart="20"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4" name="PivotTable3"/>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showGridLines="0" tabSelected="1" workbookViewId="0">
      <selection sqref="A1:L2"/>
    </sheetView>
  </sheetViews>
  <sheetFormatPr defaultRowHeight="15" x14ac:dyDescent="0.25"/>
  <sheetData>
    <row r="1" spans="1:12" ht="13.5" customHeight="1" x14ac:dyDescent="0.25">
      <c r="A1" s="5" t="s">
        <v>27</v>
      </c>
      <c r="B1" s="5"/>
      <c r="C1" s="5"/>
      <c r="D1" s="5"/>
      <c r="E1" s="5"/>
      <c r="F1" s="5"/>
      <c r="G1" s="5"/>
      <c r="H1" s="5"/>
      <c r="I1" s="5"/>
      <c r="J1" s="5"/>
      <c r="K1" s="5"/>
      <c r="L1" s="5"/>
    </row>
    <row r="2" spans="1:12" ht="15" customHeight="1" x14ac:dyDescent="0.25">
      <c r="A2" s="5"/>
      <c r="B2" s="5"/>
      <c r="C2" s="5"/>
      <c r="D2" s="5"/>
      <c r="E2" s="5"/>
      <c r="F2" s="5"/>
      <c r="G2" s="5"/>
      <c r="H2" s="5"/>
      <c r="I2" s="5"/>
      <c r="J2" s="5"/>
      <c r="K2" s="5"/>
      <c r="L2" s="5"/>
    </row>
  </sheetData>
  <mergeCells count="1">
    <mergeCell ref="A1:L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H3" sqref="H3"/>
    </sheetView>
  </sheetViews>
  <sheetFormatPr defaultRowHeight="15" x14ac:dyDescent="0.25"/>
  <cols>
    <col min="1" max="1" width="19.42578125" bestFit="1" customWidth="1"/>
    <col min="2" max="2" width="16.28515625" customWidth="1"/>
    <col min="3" max="3" width="10.42578125" bestFit="1" customWidth="1"/>
    <col min="4" max="4" width="11.28515625" bestFit="1" customWidth="1"/>
  </cols>
  <sheetData>
    <row r="3" spans="1:4" x14ac:dyDescent="0.25">
      <c r="A3" s="2" t="s">
        <v>26</v>
      </c>
      <c r="B3" s="2" t="s">
        <v>25</v>
      </c>
    </row>
    <row r="4" spans="1:4" x14ac:dyDescent="0.25">
      <c r="A4" s="2" t="s">
        <v>23</v>
      </c>
      <c r="B4" t="s">
        <v>21</v>
      </c>
      <c r="C4" t="s">
        <v>20</v>
      </c>
      <c r="D4" t="s">
        <v>24</v>
      </c>
    </row>
    <row r="5" spans="1:4" x14ac:dyDescent="0.25">
      <c r="A5" s="3" t="s">
        <v>17</v>
      </c>
      <c r="B5" s="4">
        <v>3</v>
      </c>
      <c r="C5" s="4"/>
      <c r="D5" s="4">
        <v>3</v>
      </c>
    </row>
    <row r="6" spans="1:4" x14ac:dyDescent="0.25">
      <c r="A6" s="3" t="s">
        <v>15</v>
      </c>
      <c r="B6" s="4">
        <v>1</v>
      </c>
      <c r="C6" s="4">
        <v>1</v>
      </c>
      <c r="D6" s="4">
        <v>2</v>
      </c>
    </row>
    <row r="7" spans="1:4" x14ac:dyDescent="0.25">
      <c r="A7" s="3" t="s">
        <v>16</v>
      </c>
      <c r="B7" s="4">
        <v>1</v>
      </c>
      <c r="C7" s="4">
        <v>1</v>
      </c>
      <c r="D7" s="4">
        <v>2</v>
      </c>
    </row>
    <row r="8" spans="1:4" x14ac:dyDescent="0.25">
      <c r="A8" s="3" t="s">
        <v>14</v>
      </c>
      <c r="B8" s="4">
        <v>1</v>
      </c>
      <c r="C8" s="4">
        <v>2</v>
      </c>
      <c r="D8" s="4">
        <v>3</v>
      </c>
    </row>
    <row r="9" spans="1:4" x14ac:dyDescent="0.25">
      <c r="A9" s="3" t="s">
        <v>24</v>
      </c>
      <c r="B9" s="4">
        <v>6</v>
      </c>
      <c r="C9" s="4">
        <v>4</v>
      </c>
      <c r="D9" s="4">
        <v>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election sqref="A1:G11"/>
    </sheetView>
  </sheetViews>
  <sheetFormatPr defaultRowHeight="15" x14ac:dyDescent="0.25"/>
  <cols>
    <col min="5" max="5" width="10.28515625" customWidth="1"/>
    <col min="6" max="6" width="14.28515625" customWidth="1"/>
  </cols>
  <sheetData>
    <row r="1" spans="1:7" x14ac:dyDescent="0.25">
      <c r="A1" t="s">
        <v>0</v>
      </c>
      <c r="B1" t="s">
        <v>1</v>
      </c>
      <c r="C1" t="s">
        <v>2</v>
      </c>
      <c r="D1" t="s">
        <v>3</v>
      </c>
      <c r="E1" t="s">
        <v>18</v>
      </c>
      <c r="F1" t="s">
        <v>19</v>
      </c>
      <c r="G1" t="s">
        <v>22</v>
      </c>
    </row>
    <row r="2" spans="1:7" x14ac:dyDescent="0.25">
      <c r="A2" t="s">
        <v>4</v>
      </c>
      <c r="B2" t="s">
        <v>14</v>
      </c>
      <c r="C2">
        <v>1200</v>
      </c>
      <c r="D2">
        <v>-50</v>
      </c>
      <c r="E2" s="1">
        <v>44931</v>
      </c>
      <c r="F2" t="s">
        <v>20</v>
      </c>
      <c r="G2">
        <f>IF(F2="RETURNED",0,D2)</f>
        <v>0</v>
      </c>
    </row>
    <row r="3" spans="1:7" x14ac:dyDescent="0.25">
      <c r="A3" t="s">
        <v>5</v>
      </c>
      <c r="B3" t="s">
        <v>15</v>
      </c>
      <c r="C3">
        <v>150</v>
      </c>
      <c r="D3">
        <v>-20</v>
      </c>
      <c r="E3" s="1">
        <v>44938</v>
      </c>
      <c r="F3" t="s">
        <v>20</v>
      </c>
      <c r="G3">
        <f t="shared" ref="G3:G11" si="0">IF(F3="RETURNED",0,D3)</f>
        <v>0</v>
      </c>
    </row>
    <row r="4" spans="1:7" x14ac:dyDescent="0.25">
      <c r="A4" t="s">
        <v>6</v>
      </c>
      <c r="B4" t="s">
        <v>16</v>
      </c>
      <c r="C4">
        <v>450</v>
      </c>
      <c r="D4">
        <v>50</v>
      </c>
      <c r="E4" s="1">
        <v>44944</v>
      </c>
      <c r="F4" t="s">
        <v>20</v>
      </c>
      <c r="G4">
        <f t="shared" si="0"/>
        <v>0</v>
      </c>
    </row>
    <row r="5" spans="1:7" x14ac:dyDescent="0.25">
      <c r="A5" t="s">
        <v>7</v>
      </c>
      <c r="B5" t="s">
        <v>14</v>
      </c>
      <c r="C5">
        <v>900</v>
      </c>
      <c r="D5">
        <v>100</v>
      </c>
      <c r="E5" s="1">
        <v>44951</v>
      </c>
      <c r="F5" t="s">
        <v>20</v>
      </c>
      <c r="G5">
        <f t="shared" si="0"/>
        <v>0</v>
      </c>
    </row>
    <row r="6" spans="1:7" x14ac:dyDescent="0.25">
      <c r="A6" t="s">
        <v>8</v>
      </c>
      <c r="B6" t="s">
        <v>17</v>
      </c>
      <c r="C6">
        <v>1100</v>
      </c>
      <c r="D6">
        <v>300</v>
      </c>
      <c r="E6" s="1">
        <v>44954</v>
      </c>
      <c r="F6" t="s">
        <v>21</v>
      </c>
      <c r="G6">
        <f t="shared" si="0"/>
        <v>300</v>
      </c>
    </row>
    <row r="7" spans="1:7" x14ac:dyDescent="0.25">
      <c r="A7" t="s">
        <v>9</v>
      </c>
      <c r="B7" t="s">
        <v>17</v>
      </c>
      <c r="C7">
        <v>500</v>
      </c>
      <c r="D7">
        <v>100</v>
      </c>
      <c r="E7" s="1">
        <v>44927</v>
      </c>
      <c r="F7" t="s">
        <v>21</v>
      </c>
      <c r="G7">
        <f t="shared" si="0"/>
        <v>100</v>
      </c>
    </row>
    <row r="8" spans="1:7" x14ac:dyDescent="0.25">
      <c r="A8" t="s">
        <v>10</v>
      </c>
      <c r="B8" t="s">
        <v>15</v>
      </c>
      <c r="C8">
        <v>2500</v>
      </c>
      <c r="D8">
        <v>600</v>
      </c>
      <c r="E8" s="1">
        <v>44948</v>
      </c>
      <c r="F8" t="s">
        <v>21</v>
      </c>
      <c r="G8">
        <f t="shared" si="0"/>
        <v>600</v>
      </c>
    </row>
    <row r="9" spans="1:7" x14ac:dyDescent="0.25">
      <c r="A9" t="s">
        <v>11</v>
      </c>
      <c r="B9" t="s">
        <v>14</v>
      </c>
      <c r="C9">
        <v>3000</v>
      </c>
      <c r="D9">
        <v>800</v>
      </c>
      <c r="E9" s="1">
        <v>44941</v>
      </c>
      <c r="F9" t="s">
        <v>21</v>
      </c>
      <c r="G9">
        <f t="shared" si="0"/>
        <v>800</v>
      </c>
    </row>
    <row r="10" spans="1:7" x14ac:dyDescent="0.25">
      <c r="A10" t="s">
        <v>12</v>
      </c>
      <c r="B10" t="s">
        <v>16</v>
      </c>
      <c r="C10">
        <v>2000</v>
      </c>
      <c r="D10">
        <v>500</v>
      </c>
      <c r="E10" s="1">
        <v>44936</v>
      </c>
      <c r="F10" t="s">
        <v>21</v>
      </c>
      <c r="G10">
        <f t="shared" si="0"/>
        <v>500</v>
      </c>
    </row>
    <row r="11" spans="1:7" x14ac:dyDescent="0.25">
      <c r="A11" t="s">
        <v>13</v>
      </c>
      <c r="B11" t="s">
        <v>17</v>
      </c>
      <c r="C11">
        <v>800</v>
      </c>
      <c r="D11">
        <v>200</v>
      </c>
      <c r="E11" s="1">
        <v>44946</v>
      </c>
      <c r="F11" t="s">
        <v>21</v>
      </c>
      <c r="G11">
        <f t="shared" si="0"/>
        <v>200</v>
      </c>
    </row>
    <row r="12" spans="1:7" x14ac:dyDescent="0.25">
      <c r="G12">
        <f>SUM(G2:G11)</f>
        <v>2500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2026-05-03T15:47:17Z</dcterms:created>
  <dcterms:modified xsi:type="dcterms:W3CDTF">2026-05-04T08:24:48Z</dcterms:modified>
</cp:coreProperties>
</file>